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rojects\credit-risk-vehicle-loans\files\"/>
    </mc:Choice>
  </mc:AlternateContent>
  <xr:revisionPtr revIDLastSave="0" documentId="13_ncr:1_{E7E1486F-7031-4E1F-944B-D3F08B575BEC}" xr6:coauthVersionLast="47" xr6:coauthVersionMax="47" xr10:uidLastSave="{00000000-0000-0000-0000-000000000000}"/>
  <bookViews>
    <workbookView xWindow="20370" yWindow="-120" windowWidth="29040" windowHeight="15720" xr2:uid="{DACB1899-D1C2-4DD3-B647-7E223B3954F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8" i="1" l="1"/>
  <c r="D27" i="1"/>
  <c r="D26" i="1"/>
  <c r="D25" i="1"/>
  <c r="E24" i="1"/>
  <c r="F24" i="1"/>
  <c r="G24" i="1"/>
  <c r="D24" i="1"/>
</calcChain>
</file>

<file path=xl/sharedStrings.xml><?xml version="1.0" encoding="utf-8"?>
<sst xmlns="http://schemas.openxmlformats.org/spreadsheetml/2006/main" count="61" uniqueCount="60">
  <si>
    <t>Date</t>
  </si>
  <si>
    <t>City</t>
  </si>
  <si>
    <t>Total Index</t>
  </si>
  <si>
    <t>Monthly Variation Index</t>
  </si>
  <si>
    <t>Rio de Janeiro</t>
  </si>
  <si>
    <t>Belo Horizonte</t>
  </si>
  <si>
    <t>Porto Alegre</t>
  </si>
  <si>
    <t>Curitiba</t>
  </si>
  <si>
    <t>Variation 12 Months</t>
  </si>
  <si>
    <t>Average Price R$/m²</t>
  </si>
  <si>
    <t>Campo Grande</t>
  </si>
  <si>
    <t>Aracaju</t>
  </si>
  <si>
    <t>Fortaleza</t>
  </si>
  <si>
    <t>Natal</t>
  </si>
  <si>
    <t>Recife</t>
  </si>
  <si>
    <t>Salvador</t>
  </si>
  <si>
    <t>Teresina</t>
  </si>
  <si>
    <t>Manaus</t>
  </si>
  <si>
    <t>Porto Velho</t>
  </si>
  <si>
    <t>Rio Branco</t>
  </si>
  <si>
    <t>Palmas</t>
  </si>
  <si>
    <t>Boa Vista</t>
  </si>
  <si>
    <t>São Paulo</t>
  </si>
  <si>
    <t>Florianópolis</t>
  </si>
  <si>
    <t>Vitória</t>
  </si>
  <si>
    <t>Brasília</t>
  </si>
  <si>
    <t>Goiânia</t>
  </si>
  <si>
    <t>Cuiabá</t>
  </si>
  <si>
    <t>João Pessoa</t>
  </si>
  <si>
    <t>Maceió</t>
  </si>
  <si>
    <t>Sao Luís</t>
  </si>
  <si>
    <t>Belêm</t>
  </si>
  <si>
    <t>Macapá</t>
  </si>
  <si>
    <t>State</t>
  </si>
  <si>
    <t>SP</t>
  </si>
  <si>
    <t>RJ</t>
  </si>
  <si>
    <t>MG</t>
  </si>
  <si>
    <t>RS</t>
  </si>
  <si>
    <t>PR</t>
  </si>
  <si>
    <t>SC</t>
  </si>
  <si>
    <t>ES</t>
  </si>
  <si>
    <t>DF</t>
  </si>
  <si>
    <t>GO</t>
  </si>
  <si>
    <t>MS</t>
  </si>
  <si>
    <t>MT</t>
  </si>
  <si>
    <t>SE</t>
  </si>
  <si>
    <t>CE</t>
  </si>
  <si>
    <t>PB</t>
  </si>
  <si>
    <t>AL</t>
  </si>
  <si>
    <t>RN</t>
  </si>
  <si>
    <t>PE</t>
  </si>
  <si>
    <t>BA</t>
  </si>
  <si>
    <t>MA</t>
  </si>
  <si>
    <t>PI</t>
  </si>
  <si>
    <t>PA</t>
  </si>
  <si>
    <t>AM</t>
  </si>
  <si>
    <t>RR</t>
  </si>
  <si>
    <t>AP</t>
  </si>
  <si>
    <t>AC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</si>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</sst>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CD88-F086-4BB6-B63C-C31A0FBA4846}">
  <dimension ref="A1:G28"/>
  <sheetViews>
    <sheetView tabSelected="1" workbookViewId="0">
      <selection activeCell="I11" sqref="I11"/>
    </sheetView>
  </sheetViews>
  <sheetFormatPr defaultRowHeight="15" x14ac:dyDescent="0.25"/>
  <cols>
    <col min="3" max="3" width="14.28515625" bestFit="1" customWidth="1"/>
    <col min="4" max="4" width="10.5703125" bestFit="1" customWidth="1"/>
    <col min="5" max="5" width="22.140625" bestFit="1" customWidth="1"/>
    <col min="6" max="6" width="18.85546875" bestFit="1" customWidth="1"/>
    <col min="7" max="7" width="18.7109375" bestFit="1" customWidth="1"/>
  </cols>
  <sheetData>
    <row r="1" spans="1:7" x14ac:dyDescent="0.25">
      <c r="A1" t="s">
        <v>0</v>
      </c>
      <c r="B1" t="s">
        <v>33</v>
      </c>
      <c r="C1" t="s">
        <v>1</v>
      </c>
      <c r="D1" t="s">
        <v>2</v>
      </c>
      <c r="E1" t="s">
        <v>3</v>
      </c>
      <c r="F1" t="s">
        <v>8</v>
      </c>
      <c r="G1" t="s">
        <v>9</v>
      </c>
    </row>
    <row r="2" spans="1:7" x14ac:dyDescent="0.25">
      <c r="A2" s="1">
        <v>46204</v>
      </c>
      <c r="B2" s="1" t="s">
        <v>34</v>
      </c>
      <c r="C2" t="s">
        <v>22</v>
      </c>
      <c r="D2">
        <v>248.49120282163511</v>
      </c>
      <c r="E2">
        <v>3.0757652785424749E-3</v>
      </c>
      <c r="F2">
        <v>5.5297074635475063E-2</v>
      </c>
      <c r="G2">
        <v>65.17716703963498</v>
      </c>
    </row>
    <row r="3" spans="1:7" x14ac:dyDescent="0.25">
      <c r="A3" s="1">
        <v>46204</v>
      </c>
      <c r="B3" s="1" t="s">
        <v>35</v>
      </c>
      <c r="C3" t="s">
        <v>4</v>
      </c>
      <c r="D3">
        <v>256.30600946337125</v>
      </c>
      <c r="E3">
        <v>1.548438573457056E-2</v>
      </c>
      <c r="F3">
        <v>0.13523985249197046</v>
      </c>
      <c r="G3">
        <v>60.799494033063141</v>
      </c>
    </row>
    <row r="4" spans="1:7" x14ac:dyDescent="0.25">
      <c r="A4" s="1">
        <v>46204</v>
      </c>
      <c r="B4" s="1" t="s">
        <v>36</v>
      </c>
      <c r="C4" t="s">
        <v>5</v>
      </c>
      <c r="D4">
        <v>225.85956873475428</v>
      </c>
      <c r="E4">
        <v>2.2196508885863331E-4</v>
      </c>
      <c r="F4">
        <v>7.7726646892642748E-2</v>
      </c>
      <c r="G4">
        <v>50.138048216450343</v>
      </c>
    </row>
    <row r="5" spans="1:7" x14ac:dyDescent="0.25">
      <c r="A5" s="1">
        <v>46204</v>
      </c>
      <c r="B5" s="1" t="s">
        <v>37</v>
      </c>
      <c r="C5" t="s">
        <v>6</v>
      </c>
      <c r="D5">
        <v>199.59361331531713</v>
      </c>
      <c r="E5">
        <v>1.0671348629107014E-2</v>
      </c>
      <c r="F5">
        <v>0.10782414796112838</v>
      </c>
      <c r="G5">
        <v>45.993960565413921</v>
      </c>
    </row>
    <row r="6" spans="1:7" x14ac:dyDescent="0.25">
      <c r="A6" s="1">
        <v>46204</v>
      </c>
      <c r="B6" s="1" t="s">
        <v>38</v>
      </c>
      <c r="C6" t="s">
        <v>7</v>
      </c>
      <c r="D6">
        <v>280.96401583714118</v>
      </c>
      <c r="E6">
        <v>5.7432396853762668E-3</v>
      </c>
      <c r="F6">
        <v>9.1686672209043474E-2</v>
      </c>
      <c r="G6">
        <v>48.908273373163418</v>
      </c>
    </row>
    <row r="7" spans="1:7" x14ac:dyDescent="0.25">
      <c r="A7" s="1">
        <v>46204</v>
      </c>
      <c r="B7" s="1" t="s">
        <v>39</v>
      </c>
      <c r="C7" t="s">
        <v>23</v>
      </c>
      <c r="D7">
        <v>281.37753122495934</v>
      </c>
      <c r="E7">
        <v>3.0118601287143498E-4</v>
      </c>
      <c r="F7">
        <v>2.9898479333274608E-2</v>
      </c>
      <c r="G7">
        <v>60.84164502046707</v>
      </c>
    </row>
    <row r="8" spans="1:7" x14ac:dyDescent="0.25">
      <c r="A8" s="1">
        <v>46204</v>
      </c>
      <c r="B8" s="1" t="s">
        <v>40</v>
      </c>
      <c r="C8" t="s">
        <v>24</v>
      </c>
      <c r="D8">
        <v>172.40339016635045</v>
      </c>
      <c r="E8">
        <v>2.6598044308190572E-2</v>
      </c>
      <c r="F8">
        <v>0.11940521075600263</v>
      </c>
      <c r="G8">
        <v>54.692855198597066</v>
      </c>
    </row>
    <row r="9" spans="1:7" x14ac:dyDescent="0.25">
      <c r="A9" s="1">
        <v>46204</v>
      </c>
      <c r="B9" s="1" t="s">
        <v>41</v>
      </c>
      <c r="C9" t="s">
        <v>25</v>
      </c>
      <c r="D9">
        <v>212.89818795126763</v>
      </c>
      <c r="E9">
        <v>6.2923975229767226E-3</v>
      </c>
      <c r="F9">
        <v>0.14797610703859898</v>
      </c>
      <c r="G9">
        <v>54.562545655135871</v>
      </c>
    </row>
    <row r="10" spans="1:7" x14ac:dyDescent="0.25">
      <c r="A10" s="1">
        <v>46204</v>
      </c>
      <c r="B10" s="1" t="s">
        <v>42</v>
      </c>
      <c r="C10" t="s">
        <v>26</v>
      </c>
      <c r="D10">
        <v>262.16446277370483</v>
      </c>
      <c r="E10">
        <v>2.3123796197299651E-3</v>
      </c>
      <c r="F10">
        <v>2.6625958039864894E-2</v>
      </c>
      <c r="G10">
        <v>43.205817744522378</v>
      </c>
    </row>
    <row r="11" spans="1:7" x14ac:dyDescent="0.25">
      <c r="A11" s="1">
        <v>46204</v>
      </c>
      <c r="B11" s="1" t="s">
        <v>43</v>
      </c>
      <c r="C11" t="s">
        <v>10</v>
      </c>
      <c r="D11">
        <v>187.76933629748376</v>
      </c>
      <c r="E11">
        <v>1.0653498734850331E-2</v>
      </c>
      <c r="F11">
        <v>-4.9755206295910126E-2</v>
      </c>
      <c r="G11">
        <v>31.55035428473629</v>
      </c>
    </row>
    <row r="12" spans="1:7" x14ac:dyDescent="0.25">
      <c r="A12" s="1">
        <v>46204</v>
      </c>
      <c r="B12" s="1" t="s">
        <v>44</v>
      </c>
      <c r="C12" t="s">
        <v>27</v>
      </c>
      <c r="D12">
        <v>205.45314307672217</v>
      </c>
      <c r="E12">
        <v>7.7305577411219684E-3</v>
      </c>
      <c r="F12">
        <v>9.2518537648915267E-2</v>
      </c>
      <c r="G12">
        <v>48.857061639553685</v>
      </c>
    </row>
    <row r="13" spans="1:7" x14ac:dyDescent="0.25">
      <c r="A13" s="1">
        <v>46204</v>
      </c>
      <c r="B13" s="1" t="s">
        <v>45</v>
      </c>
      <c r="C13" t="s">
        <v>11</v>
      </c>
      <c r="D13">
        <v>191.53969194978376</v>
      </c>
      <c r="E13">
        <v>-5.9744808577170128E-3</v>
      </c>
      <c r="F13">
        <v>0.25779041383523449</v>
      </c>
      <c r="G13">
        <v>36.904765666755253</v>
      </c>
    </row>
    <row r="14" spans="1:7" x14ac:dyDescent="0.25">
      <c r="A14" s="1">
        <v>46204</v>
      </c>
      <c r="B14" s="1" t="s">
        <v>46</v>
      </c>
      <c r="C14" t="s">
        <v>12</v>
      </c>
      <c r="D14">
        <v>238.74069577454605</v>
      </c>
      <c r="E14">
        <v>1.4019748400936116E-2</v>
      </c>
      <c r="F14">
        <v>0.16267558902411272</v>
      </c>
      <c r="G14">
        <v>41.655579606252225</v>
      </c>
    </row>
    <row r="15" spans="1:7" x14ac:dyDescent="0.25">
      <c r="A15" s="1">
        <v>46204</v>
      </c>
      <c r="B15" s="1" t="s">
        <v>47</v>
      </c>
      <c r="C15" t="s">
        <v>28</v>
      </c>
      <c r="D15">
        <v>185.88494167943162</v>
      </c>
      <c r="E15">
        <v>-8.9461691111832886E-3</v>
      </c>
      <c r="F15">
        <v>0.12989371698353391</v>
      </c>
      <c r="G15">
        <v>51.677604348673448</v>
      </c>
    </row>
    <row r="16" spans="1:7" x14ac:dyDescent="0.25">
      <c r="A16" s="1">
        <v>46204</v>
      </c>
      <c r="B16" s="1" t="s">
        <v>48</v>
      </c>
      <c r="C16" t="s">
        <v>29</v>
      </c>
      <c r="D16">
        <v>155.10288520868599</v>
      </c>
      <c r="E16">
        <v>-6.658764504653969E-3</v>
      </c>
      <c r="F16">
        <v>7.0120082434717457E-2</v>
      </c>
      <c r="G16">
        <v>56.199248569173506</v>
      </c>
    </row>
    <row r="17" spans="1:7" x14ac:dyDescent="0.25">
      <c r="A17" s="1">
        <v>46204</v>
      </c>
      <c r="B17" s="1" t="s">
        <v>49</v>
      </c>
      <c r="C17" t="s">
        <v>13</v>
      </c>
      <c r="D17">
        <v>185.08837915916996</v>
      </c>
      <c r="E17">
        <v>4.7553660602565495E-2</v>
      </c>
      <c r="F17">
        <v>0.1460236699475892</v>
      </c>
      <c r="G17">
        <v>44.257234522805383</v>
      </c>
    </row>
    <row r="18" spans="1:7" x14ac:dyDescent="0.25">
      <c r="A18" s="1">
        <v>46204</v>
      </c>
      <c r="B18" s="1" t="s">
        <v>50</v>
      </c>
      <c r="C18" t="s">
        <v>14</v>
      </c>
      <c r="D18">
        <v>246.62936551591039</v>
      </c>
      <c r="E18">
        <v>7.2299712662338145E-4</v>
      </c>
      <c r="F18">
        <v>7.5664123167973552E-2</v>
      </c>
      <c r="G18">
        <v>64.111246019638855</v>
      </c>
    </row>
    <row r="19" spans="1:7" x14ac:dyDescent="0.25">
      <c r="A19" s="1">
        <v>46204</v>
      </c>
      <c r="B19" s="1" t="s">
        <v>51</v>
      </c>
      <c r="C19" t="s">
        <v>15</v>
      </c>
      <c r="D19">
        <v>223.9966044268773</v>
      </c>
      <c r="E19">
        <v>1.2722808276386166E-2</v>
      </c>
      <c r="F19">
        <v>0.11111861453752159</v>
      </c>
      <c r="G19">
        <v>54.353845661238829</v>
      </c>
    </row>
    <row r="20" spans="1:7" x14ac:dyDescent="0.25">
      <c r="A20" s="1">
        <v>46204</v>
      </c>
      <c r="B20" s="1" t="s">
        <v>52</v>
      </c>
      <c r="C20" t="s">
        <v>30</v>
      </c>
      <c r="D20">
        <v>165.40239369706651</v>
      </c>
      <c r="E20">
        <v>7.7912503243044995E-3</v>
      </c>
      <c r="F20">
        <v>4.0415978638499661E-2</v>
      </c>
      <c r="G20">
        <v>57.334331544346902</v>
      </c>
    </row>
    <row r="21" spans="1:7" x14ac:dyDescent="0.25">
      <c r="A21" s="1">
        <v>46204</v>
      </c>
      <c r="B21" s="1" t="s">
        <v>53</v>
      </c>
      <c r="C21" t="s">
        <v>16</v>
      </c>
      <c r="D21">
        <v>194.03249431929001</v>
      </c>
      <c r="E21">
        <v>1.7769160874210987E-2</v>
      </c>
      <c r="F21">
        <v>0.19158033027762134</v>
      </c>
      <c r="G21">
        <v>32.453405623318467</v>
      </c>
    </row>
    <row r="22" spans="1:7" x14ac:dyDescent="0.25">
      <c r="A22" s="1">
        <v>46204</v>
      </c>
      <c r="B22" s="1" t="s">
        <v>54</v>
      </c>
      <c r="C22" t="s">
        <v>31</v>
      </c>
      <c r="D22">
        <v>227.4324543959643</v>
      </c>
      <c r="E22">
        <v>-5.9439701267333112E-3</v>
      </c>
      <c r="F22">
        <v>8.3852806012703285E-2</v>
      </c>
      <c r="G22">
        <v>62.654050507337963</v>
      </c>
    </row>
    <row r="23" spans="1:7" x14ac:dyDescent="0.25">
      <c r="A23" s="1">
        <v>46204</v>
      </c>
      <c r="B23" s="1" t="s">
        <v>55</v>
      </c>
      <c r="C23" t="s">
        <v>17</v>
      </c>
      <c r="D23">
        <v>227.4324543959643</v>
      </c>
      <c r="E23">
        <v>-5.9439701267333112E-3</v>
      </c>
      <c r="F23">
        <v>8.3852806012703285E-2</v>
      </c>
      <c r="G23">
        <v>62.654050507337963</v>
      </c>
    </row>
    <row r="24" spans="1:7" x14ac:dyDescent="0.25">
      <c r="A24" s="1">
        <v>46204</v>
      </c>
      <c r="B24" s="1" t="s">
        <v>56</v>
      </c>
      <c r="C24" t="s">
        <v>18</v>
      </c>
      <c r="D24">
        <f>MEDIAN(D2:D23)</f>
        <v>218.44739618907246</v>
      </c>
      <c r="E24">
        <f t="shared" ref="E24:G24" si="0">MEDIAN(E2:E23)</f>
        <v>6.0178186041764947E-3</v>
      </c>
      <c r="F24">
        <f t="shared" si="0"/>
        <v>9.210260492897937E-2</v>
      </c>
      <c r="G24">
        <f t="shared" si="0"/>
        <v>53.015725004956138</v>
      </c>
    </row>
    <row r="25" spans="1:7" x14ac:dyDescent="0.25">
      <c r="A25" s="1">
        <v>46204</v>
      </c>
      <c r="B25" s="1" t="s">
        <v>57</v>
      </c>
      <c r="C25" t="s">
        <v>32</v>
      </c>
      <c r="D25">
        <f>MEDIAN(D2:D23)</f>
        <v>218.44739618907246</v>
      </c>
      <c r="E25">
        <v>6.9761549340884048E-3</v>
      </c>
      <c r="F25">
        <v>9.2782171943580405E-2</v>
      </c>
      <c r="G25">
        <v>54.171692244529197</v>
      </c>
    </row>
    <row r="26" spans="1:7" x14ac:dyDescent="0.25">
      <c r="A26" s="1">
        <v>46204</v>
      </c>
      <c r="B26" s="1" t="s">
        <v>58</v>
      </c>
      <c r="C26" t="s">
        <v>19</v>
      </c>
      <c r="D26">
        <f>MEDIAN(D2:D23)</f>
        <v>218.44739618907246</v>
      </c>
      <c r="E26">
        <v>6.9761549340884048E-3</v>
      </c>
      <c r="F26">
        <v>9.2782171943580405E-2</v>
      </c>
      <c r="G26">
        <v>54.171692244529197</v>
      </c>
    </row>
    <row r="27" spans="1:7" x14ac:dyDescent="0.25">
      <c r="A27" s="1">
        <v>46204</v>
      </c>
      <c r="B27" s="1" t="s">
        <v>59</v>
      </c>
      <c r="C27" t="s">
        <v>20</v>
      </c>
      <c r="D27">
        <f>MEDIAN(D2:D23)</f>
        <v>218.44739618907246</v>
      </c>
      <c r="E27">
        <v>6.9761549340884048E-3</v>
      </c>
      <c r="F27">
        <v>9.2782171943580405E-2</v>
      </c>
      <c r="G27">
        <v>54.171692244529197</v>
      </c>
    </row>
    <row r="28" spans="1:7" x14ac:dyDescent="0.25">
      <c r="A28" s="1">
        <v>46204</v>
      </c>
      <c r="B28" s="1" t="s">
        <v>56</v>
      </c>
      <c r="C28" t="s">
        <v>21</v>
      </c>
      <c r="D28">
        <f>MEDIAN(D2:D23)</f>
        <v>218.44739618907246</v>
      </c>
      <c r="E28">
        <v>6.9761549340884048E-3</v>
      </c>
      <c r="F28">
        <v>9.2782171943580405E-2</v>
      </c>
      <c r="G28">
        <v>54.171692244529197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Da Silva Alves</dc:creator>
  <cp:lastModifiedBy>Marcio Da Silva Alves</cp:lastModifiedBy>
  <dcterms:created xsi:type="dcterms:W3CDTF">2026-08-31T22:50:24Z</dcterms:created>
  <dcterms:modified xsi:type="dcterms:W3CDTF">2026-09-01T19:25:56Z</dcterms:modified>
</cp:coreProperties>
</file>